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ocumentos\Hacker\Programação\Projeto\VBA\Fluxo de Caixa\"/>
    </mc:Choice>
  </mc:AlternateContent>
  <bookViews>
    <workbookView xWindow="0" yWindow="0" windowWidth="20385" windowHeight="3735" activeTab="2"/>
  </bookViews>
  <sheets>
    <sheet name="Controle" sheetId="6" r:id="rId1"/>
    <sheet name="Relatorio" sheetId="7" r:id="rId2"/>
    <sheet name="Despesas" sheetId="1" r:id="rId3"/>
    <sheet name="TipoReceitas" sheetId="4" r:id="rId4"/>
    <sheet name="TipoDespesa" sheetId="3" r:id="rId5"/>
    <sheet name="Receitas" sheetId="2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7" l="1"/>
  <c r="E55" i="7"/>
  <c r="C55" i="7"/>
  <c r="J30" i="6" l="1"/>
  <c r="J25" i="6"/>
  <c r="J13" i="6"/>
  <c r="J29" i="6"/>
  <c r="J24" i="6"/>
  <c r="J20" i="6"/>
  <c r="J19" i="6"/>
  <c r="J18" i="6"/>
  <c r="J14" i="6"/>
  <c r="J9" i="6"/>
  <c r="J8" i="6"/>
  <c r="J10" i="6" l="1"/>
  <c r="F37" i="6"/>
  <c r="J15" i="6"/>
  <c r="G37" i="6"/>
  <c r="J31" i="6" l="1"/>
  <c r="J26" i="6"/>
  <c r="J33" i="6" l="1"/>
</calcChain>
</file>

<file path=xl/sharedStrings.xml><?xml version="1.0" encoding="utf-8"?>
<sst xmlns="http://schemas.openxmlformats.org/spreadsheetml/2006/main" count="157" uniqueCount="76">
  <si>
    <t>ITEM</t>
  </si>
  <si>
    <t>TIPO</t>
  </si>
  <si>
    <t>DESCRICAO</t>
  </si>
  <si>
    <t>VENCIMENTO</t>
  </si>
  <si>
    <t>PAGAMENTO</t>
  </si>
  <si>
    <t>VALOR</t>
  </si>
  <si>
    <t>PENDENTE</t>
  </si>
  <si>
    <t>NOME</t>
  </si>
  <si>
    <t>Agua</t>
  </si>
  <si>
    <t>Luz</t>
  </si>
  <si>
    <t>Aluguel</t>
  </si>
  <si>
    <t>Carro</t>
  </si>
  <si>
    <t>Supermercado</t>
  </si>
  <si>
    <t>Almoço</t>
  </si>
  <si>
    <t>Café</t>
  </si>
  <si>
    <t>Funcionário</t>
  </si>
  <si>
    <t>Material</t>
  </si>
  <si>
    <t>Obra</t>
  </si>
  <si>
    <t>Salário</t>
  </si>
  <si>
    <t>Emprestimo</t>
  </si>
  <si>
    <t>Bico</t>
  </si>
  <si>
    <t>SALDO DETALHADO</t>
  </si>
  <si>
    <t>RECEITAS</t>
  </si>
  <si>
    <t>DESPESAS</t>
  </si>
  <si>
    <t>SALDO</t>
  </si>
  <si>
    <t>FLUXO DE CAIXA</t>
  </si>
  <si>
    <t>COD</t>
  </si>
  <si>
    <t>TOTAL</t>
  </si>
  <si>
    <t>SALDO TOTAL</t>
  </si>
  <si>
    <t>DEBITO PENDENTE</t>
  </si>
  <si>
    <t>CREDITO PENDENTE</t>
  </si>
  <si>
    <t>POR PERIDO:</t>
  </si>
  <si>
    <t>PAGO</t>
  </si>
  <si>
    <t>SALDO PERIODO</t>
  </si>
  <si>
    <t>OBSERVAÇÕES</t>
  </si>
  <si>
    <t>dias</t>
  </si>
  <si>
    <t>VENCIDO</t>
  </si>
  <si>
    <t>DEBITO DETALHADO</t>
  </si>
  <si>
    <t>HÁ VENCER</t>
  </si>
  <si>
    <t>VENCIDO + 30 DIAS</t>
  </si>
  <si>
    <t>Zatz</t>
  </si>
  <si>
    <t>15/07/2020</t>
  </si>
  <si>
    <t>Teste</t>
  </si>
  <si>
    <t>Agua fev</t>
  </si>
  <si>
    <t>Agua Mar</t>
  </si>
  <si>
    <t>Luz Terreno</t>
  </si>
  <si>
    <t>Elton</t>
  </si>
  <si>
    <t>20/03/2020</t>
  </si>
  <si>
    <t>testesfre</t>
  </si>
  <si>
    <t>regdf</t>
  </si>
  <si>
    <t>Julho</t>
  </si>
  <si>
    <t>TudoPago</t>
  </si>
  <si>
    <t>Pago</t>
  </si>
  <si>
    <t>Outros</t>
  </si>
  <si>
    <t>Reforma</t>
  </si>
  <si>
    <t>testea</t>
  </si>
  <si>
    <t>Emprestimo Carro</t>
  </si>
  <si>
    <t>13/07/2020</t>
  </si>
  <si>
    <t>14/07/2020</t>
  </si>
  <si>
    <t>16/07/2020</t>
  </si>
  <si>
    <t>RELATÓRIO</t>
  </si>
  <si>
    <t>20/07/2020</t>
  </si>
  <si>
    <t>25/06/2020</t>
  </si>
  <si>
    <t>V.PENDENTE</t>
  </si>
  <si>
    <t>D. AGENDADA</t>
  </si>
  <si>
    <t>17/07/2020</t>
  </si>
  <si>
    <t>SALDO RESTANTE</t>
  </si>
  <si>
    <t>SALDO ESTIMADO</t>
  </si>
  <si>
    <t>teste</t>
  </si>
  <si>
    <t>Salario Girafas</t>
  </si>
  <si>
    <t>Vale</t>
  </si>
  <si>
    <t>Aluguel Neia</t>
  </si>
  <si>
    <t>Salario</t>
  </si>
  <si>
    <t>23/07/2020</t>
  </si>
  <si>
    <t>27/07/2020</t>
  </si>
  <si>
    <t>RECEITA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</si>
</sst>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* #,##0.00_-;\-&quot;R$&quot;* #,##0.00_-;_-&quot;R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n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7">
    <xf numFmtId="0" fontId="0" fillId="0" borderId="0" xfId="0"/>
    <xf numFmtId="0" fontId="0" fillId="0" borderId="0" xfId="0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4" xfId="0" applyBorder="1" applyAlignment="1">
      <alignment horizontal="left"/>
    </xf>
    <xf numFmtId="0" fontId="2" fillId="0" borderId="16" xfId="0" applyFont="1" applyBorder="1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44" fontId="2" fillId="0" borderId="15" xfId="0" applyNumberFormat="1" applyFont="1" applyBorder="1" applyAlignment="1"/>
    <xf numFmtId="0" fontId="0" fillId="0" borderId="2" xfId="0" applyFill="1" applyBorder="1" applyAlignment="1">
      <alignment horizontal="left"/>
    </xf>
    <xf numFmtId="0" fontId="0" fillId="0" borderId="1" xfId="0" applyFill="1" applyBorder="1"/>
    <xf numFmtId="0" fontId="0" fillId="0" borderId="3" xfId="0" applyFill="1" applyBorder="1"/>
    <xf numFmtId="0" fontId="0" fillId="0" borderId="7" xfId="0" applyFill="1" applyBorder="1" applyAlignment="1"/>
    <xf numFmtId="0" fontId="0" fillId="0" borderId="0" xfId="0" applyFill="1" applyBorder="1" applyAlignment="1"/>
    <xf numFmtId="0" fontId="0" fillId="0" borderId="8" xfId="0" applyFill="1" applyBorder="1" applyAlignment="1"/>
    <xf numFmtId="0" fontId="0" fillId="3" borderId="16" xfId="0" applyFill="1" applyBorder="1" applyAlignment="1"/>
    <xf numFmtId="0" fontId="0" fillId="3" borderId="18" xfId="0" applyFill="1" applyBorder="1" applyAlignment="1"/>
    <xf numFmtId="0" fontId="0" fillId="3" borderId="7" xfId="0" applyFill="1" applyBorder="1" applyAlignment="1">
      <alignment horizontal="left"/>
    </xf>
    <xf numFmtId="0" fontId="0" fillId="3" borderId="0" xfId="0" applyFill="1" applyBorder="1"/>
    <xf numFmtId="0" fontId="0" fillId="3" borderId="8" xfId="0" applyFill="1" applyBorder="1"/>
    <xf numFmtId="0" fontId="0" fillId="3" borderId="4" xfId="0" applyFill="1" applyBorder="1" applyAlignment="1">
      <alignment horizontal="left"/>
    </xf>
    <xf numFmtId="0" fontId="0" fillId="0" borderId="2" xfId="0" applyFill="1" applyBorder="1" applyAlignment="1"/>
    <xf numFmtId="0" fontId="2" fillId="0" borderId="16" xfId="0" applyFont="1" applyFill="1" applyBorder="1" applyAlignment="1"/>
    <xf numFmtId="0" fontId="0" fillId="3" borderId="17" xfId="0" applyFill="1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14" fontId="0" fillId="0" borderId="10" xfId="0" applyNumberFormat="1" applyBorder="1" applyAlignment="1" applyProtection="1">
      <alignment horizontal="center"/>
      <protection locked="0"/>
    </xf>
    <xf numFmtId="44" fontId="0" fillId="0" borderId="10" xfId="0" applyNumberFormat="1" applyBorder="1" applyAlignment="1" applyProtection="1">
      <alignment horizontal="left"/>
      <protection locked="0"/>
    </xf>
    <xf numFmtId="44" fontId="0" fillId="0" borderId="11" xfId="0" applyNumberFormat="1" applyBorder="1" applyAlignment="1" applyProtection="1">
      <alignment horizontal="left"/>
      <protection locked="0"/>
    </xf>
    <xf numFmtId="0" fontId="0" fillId="2" borderId="13" xfId="0" applyFill="1" applyBorder="1" applyProtection="1">
      <protection locked="0"/>
    </xf>
    <xf numFmtId="14" fontId="0" fillId="2" borderId="13" xfId="0" applyNumberFormat="1" applyFill="1" applyBorder="1" applyAlignment="1" applyProtection="1">
      <alignment horizontal="center"/>
      <protection locked="0"/>
    </xf>
    <xf numFmtId="44" fontId="0" fillId="2" borderId="13" xfId="0" applyNumberFormat="1" applyFill="1" applyBorder="1" applyAlignment="1" applyProtection="1">
      <alignment horizontal="left"/>
      <protection locked="0"/>
    </xf>
    <xf numFmtId="44" fontId="0" fillId="2" borderId="14" xfId="0" applyNumberFormat="1" applyFill="1" applyBorder="1" applyAlignment="1" applyProtection="1">
      <alignment horizontal="left"/>
      <protection locked="0"/>
    </xf>
    <xf numFmtId="0" fontId="0" fillId="0" borderId="13" xfId="0" applyBorder="1" applyProtection="1">
      <protection locked="0"/>
    </xf>
    <xf numFmtId="14" fontId="0" fillId="0" borderId="13" xfId="0" applyNumberFormat="1" applyBorder="1" applyAlignment="1" applyProtection="1">
      <alignment horizontal="center"/>
      <protection locked="0"/>
    </xf>
    <xf numFmtId="44" fontId="0" fillId="0" borderId="13" xfId="0" applyNumberFormat="1" applyBorder="1" applyAlignment="1" applyProtection="1">
      <alignment horizontal="left"/>
      <protection locked="0"/>
    </xf>
    <xf numFmtId="44" fontId="0" fillId="0" borderId="14" xfId="0" applyNumberFormat="1" applyBorder="1" applyAlignment="1" applyProtection="1">
      <alignment horizontal="left"/>
      <protection locked="0"/>
    </xf>
    <xf numFmtId="44" fontId="0" fillId="3" borderId="1" xfId="1" applyFont="1" applyFill="1" applyBorder="1" applyAlignment="1">
      <alignment horizontal="left"/>
    </xf>
    <xf numFmtId="44" fontId="0" fillId="3" borderId="3" xfId="1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44" fontId="0" fillId="0" borderId="0" xfId="1" applyFont="1" applyAlignment="1">
      <alignment horizontal="left"/>
    </xf>
    <xf numFmtId="0" fontId="0" fillId="0" borderId="0" xfId="1" applyNumberFormat="1" applyFont="1" applyAlignment="1">
      <alignment horizontal="left"/>
    </xf>
    <xf numFmtId="44" fontId="0" fillId="0" borderId="0" xfId="0" applyNumberFormat="1" applyAlignment="1">
      <alignment horizontal="left"/>
    </xf>
    <xf numFmtId="14" fontId="0" fillId="2" borderId="13" xfId="0" applyNumberFormat="1" applyFill="1" applyBorder="1" applyAlignment="1" applyProtection="1">
      <alignment horizontal="left"/>
      <protection locked="0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0" xfId="0" applyBorder="1" applyProtection="1">
      <protection locked="0"/>
    </xf>
    <xf numFmtId="44" fontId="0" fillId="0" borderId="10" xfId="1" applyNumberFormat="1" applyFont="1" applyBorder="1" applyAlignment="1" applyProtection="1">
      <alignment horizontal="left"/>
      <protection locked="0"/>
    </xf>
    <xf numFmtId="14" fontId="0" fillId="0" borderId="21" xfId="0" applyNumberFormat="1" applyBorder="1" applyAlignment="1" applyProtection="1">
      <alignment horizontal="center"/>
      <protection locked="0"/>
    </xf>
    <xf numFmtId="0" fontId="0" fillId="2" borderId="22" xfId="0" applyFill="1" applyBorder="1" applyProtection="1">
      <protection locked="0"/>
    </xf>
    <xf numFmtId="44" fontId="0" fillId="2" borderId="13" xfId="1" applyNumberFormat="1" applyFont="1" applyFill="1" applyBorder="1" applyAlignment="1" applyProtection="1">
      <alignment horizontal="left"/>
      <protection locked="0"/>
    </xf>
    <xf numFmtId="14" fontId="0" fillId="2" borderId="23" xfId="0" applyNumberFormat="1" applyFill="1" applyBorder="1" applyAlignment="1" applyProtection="1">
      <alignment horizontal="center"/>
      <protection locked="0"/>
    </xf>
    <xf numFmtId="0" fontId="0" fillId="0" borderId="22" xfId="0" applyBorder="1" applyProtection="1">
      <protection locked="0"/>
    </xf>
    <xf numFmtId="44" fontId="0" fillId="0" borderId="13" xfId="1" applyNumberFormat="1" applyFont="1" applyBorder="1" applyAlignment="1" applyProtection="1">
      <alignment horizontal="left"/>
      <protection locked="0"/>
    </xf>
    <xf numFmtId="14" fontId="0" fillId="0" borderId="23" xfId="0" applyNumberForma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44" fontId="0" fillId="0" borderId="1" xfId="1" applyFont="1" applyBorder="1" applyAlignment="1">
      <alignment horizontal="left"/>
    </xf>
    <xf numFmtId="44" fontId="0" fillId="0" borderId="3" xfId="1" applyFont="1" applyBorder="1" applyAlignment="1">
      <alignment horizontal="left"/>
    </xf>
    <xf numFmtId="44" fontId="0" fillId="3" borderId="1" xfId="1" applyFont="1" applyFill="1" applyBorder="1" applyAlignment="1">
      <alignment horizontal="left"/>
    </xf>
    <xf numFmtId="44" fontId="0" fillId="3" borderId="3" xfId="1" applyFont="1" applyFill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7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7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44" fontId="0" fillId="0" borderId="0" xfId="1" applyFont="1" applyBorder="1" applyAlignment="1">
      <alignment horizontal="left"/>
    </xf>
    <xf numFmtId="44" fontId="0" fillId="0" borderId="8" xfId="1" applyFont="1" applyBorder="1" applyAlignment="1">
      <alignment horizontal="left"/>
    </xf>
    <xf numFmtId="44" fontId="2" fillId="0" borderId="17" xfId="1" applyFont="1" applyBorder="1" applyAlignment="1">
      <alignment horizontal="left"/>
    </xf>
    <xf numFmtId="44" fontId="2" fillId="0" borderId="18" xfId="1" applyFont="1" applyBorder="1" applyAlignment="1">
      <alignment horizontal="left"/>
    </xf>
    <xf numFmtId="44" fontId="2" fillId="0" borderId="17" xfId="1" applyFont="1" applyFill="1" applyBorder="1" applyAlignment="1">
      <alignment horizontal="left"/>
    </xf>
    <xf numFmtId="44" fontId="2" fillId="0" borderId="18" xfId="1" applyFont="1" applyFill="1" applyBorder="1" applyAlignment="1">
      <alignment horizontal="left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44" fontId="0" fillId="0" borderId="5" xfId="1" applyFont="1" applyBorder="1" applyAlignment="1">
      <alignment horizontal="left"/>
    </xf>
    <xf numFmtId="44" fontId="0" fillId="0" borderId="6" xfId="1" applyFont="1" applyBorder="1" applyAlignment="1">
      <alignment horizontal="left"/>
    </xf>
    <xf numFmtId="0" fontId="2" fillId="3" borderId="16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44" fontId="0" fillId="3" borderId="5" xfId="1" applyFont="1" applyFill="1" applyBorder="1" applyAlignment="1">
      <alignment horizontal="left"/>
    </xf>
    <xf numFmtId="44" fontId="0" fillId="3" borderId="6" xfId="1" applyFont="1" applyFill="1" applyBorder="1" applyAlignment="1">
      <alignment horizontal="left"/>
    </xf>
    <xf numFmtId="44" fontId="0" fillId="3" borderId="0" xfId="1" applyFont="1" applyFill="1" applyBorder="1" applyAlignment="1">
      <alignment horizontal="left"/>
    </xf>
    <xf numFmtId="44" fontId="0" fillId="3" borderId="8" xfId="1" applyFont="1" applyFill="1" applyBorder="1" applyAlignment="1">
      <alignment horizontal="left"/>
    </xf>
    <xf numFmtId="0" fontId="2" fillId="0" borderId="6" xfId="0" applyFont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44" fontId="1" fillId="0" borderId="0" xfId="1" applyFont="1" applyAlignment="1">
      <alignment horizontal="left"/>
    </xf>
    <xf numFmtId="0" fontId="2" fillId="0" borderId="17" xfId="0" applyFont="1" applyFill="1" applyBorder="1" applyAlignment="1">
      <alignment horizontal="center"/>
    </xf>
    <xf numFmtId="44" fontId="2" fillId="0" borderId="25" xfId="1" applyFont="1" applyFill="1" applyBorder="1" applyAlignment="1">
      <alignment horizontal="left"/>
    </xf>
    <xf numFmtId="44" fontId="2" fillId="0" borderId="24" xfId="1" applyFont="1" applyFill="1" applyBorder="1" applyAlignment="1">
      <alignment horizontal="left"/>
    </xf>
    <xf numFmtId="0" fontId="0" fillId="0" borderId="0" xfId="0" applyFont="1" applyAlignment="1">
      <alignment horizontal="right"/>
    </xf>
  </cellXfs>
  <cellStyles count="2">
    <cellStyle name="Moeda" xfId="1" builtinId="4"/>
    <cellStyle name="Normal" xfId="0" builtinId="0"/>
  </cellStyles>
  <dxfs count="4"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</xdr:row>
          <xdr:rowOff>161925</xdr:rowOff>
        </xdr:from>
        <xdr:to>
          <xdr:col>1</xdr:col>
          <xdr:colOff>752475</xdr:colOff>
          <xdr:row>5</xdr:row>
          <xdr:rowOff>85725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914400</xdr:colOff>
          <xdr:row>3</xdr:row>
          <xdr:rowOff>161925</xdr:rowOff>
        </xdr:from>
        <xdr:to>
          <xdr:col>2</xdr:col>
          <xdr:colOff>857250</xdr:colOff>
          <xdr:row>5</xdr:row>
          <xdr:rowOff>85725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1038225</xdr:colOff>
          <xdr:row>3</xdr:row>
          <xdr:rowOff>152400</xdr:rowOff>
        </xdr:from>
        <xdr:to>
          <xdr:col>3</xdr:col>
          <xdr:colOff>95250</xdr:colOff>
          <xdr:row>5</xdr:row>
          <xdr:rowOff>76200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K37"/>
  <sheetViews>
    <sheetView view="pageLayout" topLeftCell="A4" zoomScaleNormal="100" workbookViewId="0">
      <selection activeCell="E12" sqref="E12"/>
    </sheetView>
  </sheetViews>
  <sheetFormatPr defaultRowHeight="15" x14ac:dyDescent="0.25"/>
  <cols>
    <col min="1" max="1" width="5.28515625" bestFit="1" customWidth="1"/>
    <col min="2" max="2" width="13.85546875" customWidth="1"/>
    <col min="3" max="3" width="26.42578125" customWidth="1"/>
    <col min="4" max="7" width="13.42578125" customWidth="1"/>
    <col min="8" max="8" width="1.28515625" customWidth="1"/>
    <col min="9" max="9" width="17.5703125" style="1" customWidth="1"/>
    <col min="10" max="11" width="9" customWidth="1"/>
  </cols>
  <sheetData>
    <row r="1" spans="1:11" x14ac:dyDescent="0.25">
      <c r="A1" s="77"/>
      <c r="B1" s="78"/>
      <c r="C1" s="78"/>
      <c r="D1" s="71" t="s">
        <v>25</v>
      </c>
      <c r="E1" s="71"/>
      <c r="F1" s="71"/>
      <c r="G1" s="71"/>
      <c r="H1" s="71"/>
      <c r="I1" s="71"/>
      <c r="J1" s="71"/>
      <c r="K1" s="72"/>
    </row>
    <row r="2" spans="1:11" x14ac:dyDescent="0.25">
      <c r="A2" s="80"/>
      <c r="B2" s="81"/>
      <c r="C2" s="81"/>
      <c r="D2" s="73"/>
      <c r="E2" s="73"/>
      <c r="F2" s="73"/>
      <c r="G2" s="73"/>
      <c r="H2" s="73"/>
      <c r="I2" s="73"/>
      <c r="J2" s="73"/>
      <c r="K2" s="74"/>
    </row>
    <row r="3" spans="1:11" x14ac:dyDescent="0.25">
      <c r="A3" s="83"/>
      <c r="B3" s="84"/>
      <c r="C3" s="84"/>
      <c r="D3" s="75"/>
      <c r="E3" s="75"/>
      <c r="F3" s="75"/>
      <c r="G3" s="75"/>
      <c r="H3" s="75"/>
      <c r="I3" s="75"/>
      <c r="J3" s="75"/>
      <c r="K3" s="76"/>
    </row>
    <row r="4" spans="1:11" x14ac:dyDescent="0.25">
      <c r="A4" s="77"/>
      <c r="B4" s="78"/>
      <c r="C4" s="78"/>
      <c r="D4" s="78"/>
      <c r="E4" s="78"/>
      <c r="F4" s="78"/>
      <c r="G4" s="78"/>
      <c r="H4" s="78"/>
      <c r="I4" s="78"/>
      <c r="J4" s="78"/>
      <c r="K4" s="79"/>
    </row>
    <row r="5" spans="1:11" x14ac:dyDescent="0.25">
      <c r="A5" s="80"/>
      <c r="B5" s="81"/>
      <c r="C5" s="81"/>
      <c r="D5" s="81"/>
      <c r="E5" s="81"/>
      <c r="F5" s="81"/>
      <c r="G5" s="81"/>
      <c r="H5" s="81"/>
      <c r="I5" s="81"/>
      <c r="J5" s="81"/>
      <c r="K5" s="82"/>
    </row>
    <row r="6" spans="1:11" x14ac:dyDescent="0.25">
      <c r="A6" s="83"/>
      <c r="B6" s="84"/>
      <c r="C6" s="84"/>
      <c r="D6" s="84"/>
      <c r="E6" s="84"/>
      <c r="F6" s="84"/>
      <c r="G6" s="84"/>
      <c r="H6" s="84"/>
      <c r="I6" s="84"/>
      <c r="J6" s="84"/>
      <c r="K6" s="85"/>
    </row>
    <row r="7" spans="1:11" x14ac:dyDescent="0.25">
      <c r="A7" s="86" t="s">
        <v>75</v>
      </c>
      <c r="B7" s="87"/>
      <c r="C7" s="87"/>
      <c r="D7" s="87"/>
      <c r="E7" s="87"/>
      <c r="F7" s="87"/>
      <c r="G7" s="88"/>
      <c r="I7" s="89" t="s">
        <v>28</v>
      </c>
      <c r="J7" s="90"/>
      <c r="K7" s="91"/>
    </row>
    <row r="8" spans="1:11" x14ac:dyDescent="0.25">
      <c r="A8" s="2" t="s">
        <v>26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5</v>
      </c>
      <c r="G8" s="4" t="s">
        <v>6</v>
      </c>
      <c r="I8" s="5" t="s">
        <v>22</v>
      </c>
      <c r="J8" s="64">
        <f>SUMIF(Receitas!$E$2:$E$1048576, "&lt;&gt;",Receitas!$F$2:F$1048576)-SUMIF(Receitas!$E$2:$E$1048576, "&lt;&gt;",Receitas!$G$2:G$1048576)</f>
        <v>18515</v>
      </c>
      <c r="K8" s="65"/>
    </row>
    <row r="9" spans="1:11" x14ac:dyDescent="0.25">
      <c r="A9" s="61">
        <v>8</v>
      </c>
      <c r="B9" s="28" t="s">
        <v>18</v>
      </c>
      <c r="C9" s="28" t="s">
        <v>70</v>
      </c>
      <c r="D9" s="29" t="s">
        <v>61</v>
      </c>
      <c r="E9" s="29" t="s">
        <v>59</v>
      </c>
      <c r="F9" s="30">
        <v>500</v>
      </c>
      <c r="G9" s="31">
        <v>50</v>
      </c>
      <c r="I9" s="6" t="s">
        <v>23</v>
      </c>
      <c r="J9" s="92">
        <f>SUMIF(Despesas!$E$2:$E$1048576, "&lt;&gt;",Despesas!$F$2:$F$1048576)-SUMIF(Despesas!$E$2:$E$1048576, "&lt;&gt;",Despesas!$G$2:$G$1048576)</f>
        <v>21250</v>
      </c>
      <c r="K9" s="93"/>
    </row>
    <row r="10" spans="1:11" x14ac:dyDescent="0.25">
      <c r="A10" s="62">
        <v>4</v>
      </c>
      <c r="B10" s="32" t="s">
        <v>19</v>
      </c>
      <c r="C10" s="32" t="s">
        <v>50</v>
      </c>
      <c r="D10" s="33" t="s">
        <v>58</v>
      </c>
      <c r="E10" s="33" t="s">
        <v>59</v>
      </c>
      <c r="F10" s="34">
        <v>4500</v>
      </c>
      <c r="G10" s="35">
        <v>500</v>
      </c>
      <c r="I10" s="8" t="s">
        <v>24</v>
      </c>
      <c r="J10" s="94">
        <f>J8-J9</f>
        <v>-2735</v>
      </c>
      <c r="K10" s="95"/>
    </row>
    <row r="11" spans="1:11" x14ac:dyDescent="0.25">
      <c r="A11" s="63"/>
      <c r="B11" s="36"/>
      <c r="C11" s="36"/>
      <c r="D11" s="37"/>
      <c r="E11" s="37"/>
      <c r="F11" s="38"/>
      <c r="G11" s="39"/>
      <c r="I11" s="13"/>
      <c r="J11" s="14"/>
      <c r="K11" s="15"/>
    </row>
    <row r="12" spans="1:11" x14ac:dyDescent="0.25">
      <c r="A12" s="62"/>
      <c r="B12" s="32"/>
      <c r="C12" s="32"/>
      <c r="D12" s="33"/>
      <c r="E12" s="33"/>
      <c r="F12" s="34"/>
      <c r="G12" s="35"/>
      <c r="I12" s="98" t="s">
        <v>21</v>
      </c>
      <c r="J12" s="99"/>
      <c r="K12" s="100"/>
    </row>
    <row r="13" spans="1:11" ht="15" customHeight="1" x14ac:dyDescent="0.25">
      <c r="A13" s="63"/>
      <c r="B13" s="36"/>
      <c r="C13" s="36"/>
      <c r="D13" s="37"/>
      <c r="E13" s="37"/>
      <c r="F13" s="38"/>
      <c r="G13" s="39"/>
      <c r="I13" s="25" t="s">
        <v>30</v>
      </c>
      <c r="J13" s="64">
        <f>SUMIF(Receitas!$E$2:$E$1048576, "",Receitas!$F$2:F$1048576) + SUM(Receitas!G2:G1048576)</f>
        <v>10550</v>
      </c>
      <c r="K13" s="65"/>
    </row>
    <row r="14" spans="1:11" ht="15" customHeight="1" x14ac:dyDescent="0.25">
      <c r="A14" s="62"/>
      <c r="B14" s="32"/>
      <c r="C14" s="32"/>
      <c r="D14" s="33"/>
      <c r="E14" s="33"/>
      <c r="F14" s="34"/>
      <c r="G14" s="35"/>
      <c r="I14" s="16" t="s">
        <v>29</v>
      </c>
      <c r="J14" s="104">
        <f>SUMIF(Despesas!$E$2:$E$1048576, "",Despesas!$F$2:$F$1048576)+ SUM(Despesas!G2:G1048576)</f>
        <v>6160</v>
      </c>
      <c r="K14" s="105"/>
    </row>
    <row r="15" spans="1:11" ht="15" customHeight="1" x14ac:dyDescent="0.25">
      <c r="A15" s="63"/>
      <c r="B15" s="36"/>
      <c r="C15" s="36"/>
      <c r="D15" s="37"/>
      <c r="E15" s="37"/>
      <c r="F15" s="38"/>
      <c r="G15" s="39"/>
      <c r="I15" s="26" t="s">
        <v>24</v>
      </c>
      <c r="J15" s="96">
        <f>J13-J14</f>
        <v>4390</v>
      </c>
      <c r="K15" s="97"/>
    </row>
    <row r="16" spans="1:11" x14ac:dyDescent="0.25">
      <c r="A16" s="62"/>
      <c r="B16" s="32"/>
      <c r="C16" s="32"/>
      <c r="D16" s="33"/>
      <c r="E16" s="33"/>
      <c r="F16" s="34"/>
      <c r="G16" s="35"/>
      <c r="I16" s="6"/>
      <c r="J16" s="17"/>
      <c r="K16" s="18"/>
    </row>
    <row r="17" spans="1:11" x14ac:dyDescent="0.25">
      <c r="A17" s="63"/>
      <c r="B17" s="36"/>
      <c r="C17" s="36"/>
      <c r="D17" s="37"/>
      <c r="E17" s="37"/>
      <c r="F17" s="38"/>
      <c r="G17" s="39"/>
      <c r="I17" s="101" t="s">
        <v>37</v>
      </c>
      <c r="J17" s="102"/>
      <c r="K17" s="103"/>
    </row>
    <row r="18" spans="1:11" x14ac:dyDescent="0.25">
      <c r="A18" s="62"/>
      <c r="B18" s="32"/>
      <c r="C18" s="32"/>
      <c r="D18" s="33"/>
      <c r="E18" s="33"/>
      <c r="F18" s="34"/>
      <c r="G18" s="35"/>
      <c r="I18" s="5" t="s">
        <v>38</v>
      </c>
      <c r="J18" s="64">
        <f ca="1">SUMIFS(Despesas!$F$2:$F$1048576,Despesas!$E$2:$E$1048576,"",Despesas!$D$2:$D$1048576,"&gt;"&amp;TODAY())+SUMIFS(Despesas!$G$2:$G$1048576,Despesas!$D$2:$D$1048576,"&gt;"&amp;TODAY())</f>
        <v>5000</v>
      </c>
      <c r="K18" s="65"/>
    </row>
    <row r="19" spans="1:11" x14ac:dyDescent="0.25">
      <c r="A19" s="63"/>
      <c r="B19" s="36"/>
      <c r="C19" s="36"/>
      <c r="D19" s="37"/>
      <c r="E19" s="37"/>
      <c r="F19" s="38"/>
      <c r="G19" s="39"/>
      <c r="I19" s="6" t="s">
        <v>36</v>
      </c>
      <c r="J19" s="92">
        <f ca="1">SUMIFS(Despesas!$F$2:$F$1048576,Despesas!$E$2:$E$1048576,"",Despesas!$D$2:$D$1048576,"&lt;="&amp;TODAY())+SUMIFS(Despesas!$G$2:$G$1048576,Despesas!$D$2:$D$1048576,"&lt;="&amp;TODAY())</f>
        <v>110</v>
      </c>
      <c r="K19" s="93"/>
    </row>
    <row r="20" spans="1:11" x14ac:dyDescent="0.25">
      <c r="A20" s="62"/>
      <c r="B20" s="32"/>
      <c r="C20" s="32"/>
      <c r="D20" s="33"/>
      <c r="E20" s="33"/>
      <c r="F20" s="34"/>
      <c r="G20" s="35"/>
      <c r="I20" s="7" t="s">
        <v>39</v>
      </c>
      <c r="J20" s="104">
        <f ca="1">SUMIFS(Despesas!$F$2:$F$1048576,Despesas!$E$2:$E$1048576,"",Despesas!$D$2:$D$1048576,"&lt;="&amp;TODAY()-30)+SUMIFS(Despesas!$G$2:$G$1048576,Despesas!$D$2:$D$1048576,"&lt;="&amp;TODAY()-30)</f>
        <v>110</v>
      </c>
      <c r="K20" s="105"/>
    </row>
    <row r="21" spans="1:11" x14ac:dyDescent="0.25">
      <c r="A21" s="63"/>
      <c r="B21" s="36"/>
      <c r="C21" s="36"/>
      <c r="D21" s="37"/>
      <c r="E21" s="37"/>
      <c r="F21" s="38"/>
      <c r="G21" s="39"/>
      <c r="I21" s="5"/>
      <c r="K21" s="44"/>
    </row>
    <row r="22" spans="1:11" x14ac:dyDescent="0.25">
      <c r="A22" s="62"/>
      <c r="B22" s="32"/>
      <c r="C22" s="32"/>
      <c r="D22" s="33"/>
      <c r="E22" s="33"/>
      <c r="F22" s="34"/>
      <c r="G22" s="35"/>
      <c r="I22" s="19" t="s">
        <v>31</v>
      </c>
      <c r="J22" s="27">
        <v>30</v>
      </c>
      <c r="K22" s="20" t="s">
        <v>35</v>
      </c>
    </row>
    <row r="23" spans="1:11" x14ac:dyDescent="0.25">
      <c r="A23" s="63"/>
      <c r="B23" s="36"/>
      <c r="C23" s="36"/>
      <c r="D23" s="37"/>
      <c r="E23" s="37"/>
      <c r="F23" s="38"/>
      <c r="G23" s="39"/>
      <c r="I23" s="106" t="s">
        <v>23</v>
      </c>
      <c r="J23" s="107"/>
      <c r="K23" s="108"/>
    </row>
    <row r="24" spans="1:11" x14ac:dyDescent="0.25">
      <c r="A24" s="62"/>
      <c r="B24" s="32"/>
      <c r="C24" s="32"/>
      <c r="D24" s="33"/>
      <c r="E24" s="33"/>
      <c r="F24" s="49"/>
      <c r="G24" s="35"/>
      <c r="I24" s="21" t="s">
        <v>6</v>
      </c>
      <c r="J24" s="66">
        <f ca="1">SUMIFS(Despesas!$F$2:$F$1048576,Despesas!$E$2:$E$1048576,"",Despesas!$D$2:$D$1048576,"&gt;="&amp;TODAY()-$J$22,Despesas!$D$2:$D$1048576,"&lt;="&amp;TODAY())+SUMIFS(Despesas!$G$2:$G$1048576,Despesas!$D$2:$D$1048576,"&gt;="&amp;TODAY()-$J$22,Despesas!$D$2:$D$1048576,"&lt;="&amp;TODAY())</f>
        <v>0</v>
      </c>
      <c r="K24" s="67"/>
    </row>
    <row r="25" spans="1:11" x14ac:dyDescent="0.25">
      <c r="A25" s="63"/>
      <c r="B25" s="36"/>
      <c r="C25" s="36"/>
      <c r="D25" s="37"/>
      <c r="E25" s="37"/>
      <c r="F25" s="38"/>
      <c r="G25" s="39"/>
      <c r="I25" s="21" t="s">
        <v>32</v>
      </c>
      <c r="J25" s="111">
        <f ca="1">SUMIFS(Despesas!$F$2:$F$1048576,Despesas!$E$2:$E$1048576,"&lt;&gt;",Despesas!$E$2:$E$1048576,"&gt;="&amp;TODAY()-$J$22,Despesas!$E$2:$E$1048576,"&lt;="&amp;TODAY())-SUMIFS(Despesas!$G$2:$G$1048576,Despesas!$E$2:$E$1048576,"&gt;="&amp;TODAY()-$J$22,Despesas!$E$2:$E$1048576,"&lt;="&amp;TODAY())</f>
        <v>50</v>
      </c>
      <c r="K25" s="112"/>
    </row>
    <row r="26" spans="1:11" x14ac:dyDescent="0.25">
      <c r="A26" s="62"/>
      <c r="B26" s="32"/>
      <c r="C26" s="32"/>
      <c r="D26" s="33"/>
      <c r="E26" s="33"/>
      <c r="F26" s="34"/>
      <c r="G26" s="35"/>
      <c r="I26" s="24" t="s">
        <v>27</v>
      </c>
      <c r="J26" s="109">
        <f ca="1">SUM(J24:K25)</f>
        <v>50</v>
      </c>
      <c r="K26" s="110"/>
    </row>
    <row r="27" spans="1:11" x14ac:dyDescent="0.25">
      <c r="A27" s="63"/>
      <c r="B27" s="36"/>
      <c r="C27" s="36"/>
      <c r="D27" s="37"/>
      <c r="E27" s="37"/>
      <c r="F27" s="38"/>
      <c r="G27" s="39"/>
      <c r="I27" s="21"/>
      <c r="J27" s="22"/>
      <c r="K27" s="23"/>
    </row>
    <row r="28" spans="1:11" x14ac:dyDescent="0.25">
      <c r="A28" s="62"/>
      <c r="B28" s="32"/>
      <c r="C28" s="32"/>
      <c r="D28" s="33"/>
      <c r="E28" s="33"/>
      <c r="F28" s="34"/>
      <c r="G28" s="35"/>
      <c r="I28" s="106" t="s">
        <v>22</v>
      </c>
      <c r="J28" s="107"/>
      <c r="K28" s="108"/>
    </row>
    <row r="29" spans="1:11" x14ac:dyDescent="0.25">
      <c r="A29" s="63"/>
      <c r="B29" s="36"/>
      <c r="C29" s="36"/>
      <c r="D29" s="37"/>
      <c r="E29" s="37"/>
      <c r="F29" s="38"/>
      <c r="G29" s="39"/>
      <c r="I29" s="21" t="s">
        <v>6</v>
      </c>
      <c r="J29" s="66">
        <f ca="1">SUMIFS(Receitas!$F$2:$F$1048576,Receitas!$E$2:$E$1048576,"",Receitas!$D$2:$D$1048576,"&gt;="&amp;TODAY()-$J$22,Receitas!$D$2:$D$1048576,"&lt;="&amp;TODAY())+SUMIFS(Receitas!$G$2:$G$1048576,Receitas!$D$2:$D$1048576,"&gt;="&amp;TODAY()-$J$22,Receitas!$D$2:$D$1048576,"&lt;="&amp;TODAY())</f>
        <v>5000</v>
      </c>
      <c r="K29" s="67"/>
    </row>
    <row r="30" spans="1:11" x14ac:dyDescent="0.25">
      <c r="A30" s="62"/>
      <c r="B30" s="32"/>
      <c r="C30" s="32"/>
      <c r="D30" s="33"/>
      <c r="E30" s="33"/>
      <c r="F30" s="34"/>
      <c r="G30" s="35"/>
      <c r="I30" s="21" t="s">
        <v>32</v>
      </c>
      <c r="J30" s="111">
        <f ca="1">SUMIFS(Receitas!$F$2:$F$1048576,Receitas!$E$2:$E$1048576,"&lt;&gt;",Receitas!$E$2:$E$1048576,"&gt;="&amp;TODAY()-$J$22,Receitas!$E$2:$E$1048576,"&lt;="&amp;TODAY())-SUMIFS(Receitas!$G$2:$G$1048576,Receitas!$E$2:$E$1048576,"&gt;="&amp;TODAY()-$J$22,Receitas!$E$2:$E$1048576,"&lt;="&amp;TODAY())</f>
        <v>4065</v>
      </c>
      <c r="K30" s="112"/>
    </row>
    <row r="31" spans="1:11" x14ac:dyDescent="0.25">
      <c r="A31" s="63"/>
      <c r="B31" s="36"/>
      <c r="C31" s="36"/>
      <c r="D31" s="37"/>
      <c r="E31" s="37"/>
      <c r="F31" s="38"/>
      <c r="G31" s="39"/>
      <c r="I31" s="24" t="s">
        <v>27</v>
      </c>
      <c r="J31" s="109">
        <f ca="1">SUM(J29:K30)</f>
        <v>9065</v>
      </c>
      <c r="K31" s="110"/>
    </row>
    <row r="32" spans="1:11" x14ac:dyDescent="0.25">
      <c r="A32" s="62"/>
      <c r="B32" s="32"/>
      <c r="C32" s="32"/>
      <c r="D32" s="33"/>
      <c r="E32" s="33"/>
      <c r="F32" s="34"/>
      <c r="G32" s="35"/>
      <c r="I32" s="21"/>
      <c r="J32" s="40"/>
      <c r="K32" s="41"/>
    </row>
    <row r="33" spans="1:11" x14ac:dyDescent="0.25">
      <c r="A33" s="63"/>
      <c r="B33" s="36"/>
      <c r="C33" s="36"/>
      <c r="D33" s="37"/>
      <c r="E33" s="37"/>
      <c r="F33" s="38"/>
      <c r="G33" s="39"/>
      <c r="I33" s="24" t="s">
        <v>33</v>
      </c>
      <c r="J33" s="109">
        <f ca="1">J31-J26</f>
        <v>9015</v>
      </c>
      <c r="K33" s="110"/>
    </row>
    <row r="34" spans="1:11" x14ac:dyDescent="0.25">
      <c r="A34" s="62"/>
      <c r="B34" s="32"/>
      <c r="C34" s="32"/>
      <c r="D34" s="33"/>
      <c r="E34" s="33"/>
      <c r="F34" s="34"/>
      <c r="G34" s="35"/>
      <c r="I34" s="5"/>
      <c r="J34" s="43"/>
      <c r="K34" s="44"/>
    </row>
    <row r="35" spans="1:11" x14ac:dyDescent="0.25">
      <c r="A35" s="63"/>
      <c r="B35" s="36"/>
      <c r="C35" s="36"/>
      <c r="D35" s="37"/>
      <c r="E35" s="37"/>
      <c r="F35" s="38"/>
      <c r="G35" s="39"/>
      <c r="I35" s="68" t="s">
        <v>34</v>
      </c>
      <c r="J35" s="69"/>
      <c r="K35" s="113"/>
    </row>
    <row r="36" spans="1:11" x14ac:dyDescent="0.25">
      <c r="A36" s="62"/>
      <c r="B36" s="32"/>
      <c r="C36" s="32"/>
      <c r="D36" s="33"/>
      <c r="E36" s="33"/>
      <c r="F36" s="34"/>
      <c r="G36" s="35"/>
      <c r="I36" s="114"/>
      <c r="J36" s="115"/>
      <c r="K36" s="116"/>
    </row>
    <row r="37" spans="1:11" x14ac:dyDescent="0.25">
      <c r="A37" s="68" t="s">
        <v>27</v>
      </c>
      <c r="B37" s="69"/>
      <c r="C37" s="69"/>
      <c r="D37" s="69"/>
      <c r="E37" s="70"/>
      <c r="F37" s="12">
        <f>SUM(F9:F36)</f>
        <v>5000</v>
      </c>
      <c r="G37" s="12">
        <f>SUM(G9:G36)</f>
        <v>550</v>
      </c>
      <c r="H37" s="45"/>
      <c r="I37" s="117"/>
      <c r="J37" s="118"/>
      <c r="K37" s="119"/>
    </row>
  </sheetData>
  <sheetProtection algorithmName="SHA-512" hashValue="ms03EhrjytHsgmgc/AsHS5U0F6O+TbhUS5ejdP9lgSjAGtuhpwhJqOSW+7ODqESuV1rvAr8evePt1Mt+l2UZFA==" saltValue="MQbAV6xcny+JoApc1TMcFA==" spinCount="100000" sheet="1" objects="1" scenarios="1"/>
  <mergeCells count="29">
    <mergeCell ref="I35:K35"/>
    <mergeCell ref="I36:K36"/>
    <mergeCell ref="I37:K37"/>
    <mergeCell ref="J29:K29"/>
    <mergeCell ref="J30:K30"/>
    <mergeCell ref="J19:K19"/>
    <mergeCell ref="J20:K20"/>
    <mergeCell ref="I28:K28"/>
    <mergeCell ref="I23:K23"/>
    <mergeCell ref="J33:K33"/>
    <mergeCell ref="J31:K31"/>
    <mergeCell ref="J25:K25"/>
    <mergeCell ref="J26:K26"/>
    <mergeCell ref="J18:K18"/>
    <mergeCell ref="J24:K24"/>
    <mergeCell ref="A37:E37"/>
    <mergeCell ref="D1:K3"/>
    <mergeCell ref="A4:K6"/>
    <mergeCell ref="A1:C3"/>
    <mergeCell ref="A7:G7"/>
    <mergeCell ref="I7:K7"/>
    <mergeCell ref="J8:K8"/>
    <mergeCell ref="J9:K9"/>
    <mergeCell ref="J10:K10"/>
    <mergeCell ref="J15:K15"/>
    <mergeCell ref="I12:K12"/>
    <mergeCell ref="I17:K17"/>
    <mergeCell ref="J13:K13"/>
    <mergeCell ref="J14:K14"/>
  </mergeCells>
  <conditionalFormatting sqref="I15:J15">
    <cfRule type="expression" dxfId="3" priority="3">
      <formula>$J$15&gt;0</formula>
    </cfRule>
    <cfRule type="expression" dxfId="2" priority="4">
      <formula>$J$15&lt;0</formula>
    </cfRule>
  </conditionalFormatting>
  <conditionalFormatting sqref="I33:K33">
    <cfRule type="expression" dxfId="1" priority="1">
      <formula>$J$33&gt;0</formula>
    </cfRule>
    <cfRule type="expression" dxfId="0" priority="2">
      <formula>$J$33&lt;0</formula>
    </cfRule>
  </conditionalFormatting>
  <pageMargins left="0.511811024" right="0.511811024" top="0.35416666666666669" bottom="0.46875" header="0.31496062000000002" footer="0.31496062000000002"/>
  <pageSetup paperSize="9" orientation="landscape" horizontalDpi="300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autoLine="0" r:id="rId5">
            <anchor moveWithCells="1">
              <from>
                <xdr:col>0</xdr:col>
                <xdr:colOff>209550</xdr:colOff>
                <xdr:row>3</xdr:row>
                <xdr:rowOff>161925</xdr:rowOff>
              </from>
              <to>
                <xdr:col>1</xdr:col>
                <xdr:colOff>752475</xdr:colOff>
                <xdr:row>5</xdr:row>
                <xdr:rowOff>85725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autoLine="0" r:id="rId7">
            <anchor moveWithCells="1">
              <from>
                <xdr:col>1</xdr:col>
                <xdr:colOff>914400</xdr:colOff>
                <xdr:row>3</xdr:row>
                <xdr:rowOff>161925</xdr:rowOff>
              </from>
              <to>
                <xdr:col>2</xdr:col>
                <xdr:colOff>857250</xdr:colOff>
                <xdr:row>5</xdr:row>
                <xdr:rowOff>85725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autoLine="0" r:id="rId9">
            <anchor moveWithCells="1">
              <from>
                <xdr:col>2</xdr:col>
                <xdr:colOff>1038225</xdr:colOff>
                <xdr:row>3</xdr:row>
                <xdr:rowOff>152400</xdr:rowOff>
              </from>
              <to>
                <xdr:col>3</xdr:col>
                <xdr:colOff>95250</xdr:colOff>
                <xdr:row>5</xdr:row>
                <xdr:rowOff>76200</xdr:rowOff>
              </to>
            </anchor>
          </controlPr>
        </control>
      </mc:Choice>
      <mc:Fallback>
        <control shapeId="5123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F55"/>
  <sheetViews>
    <sheetView view="pageLayout" zoomScaleNormal="100" workbookViewId="0">
      <selection activeCell="D11" sqref="D11"/>
    </sheetView>
  </sheetViews>
  <sheetFormatPr defaultRowHeight="15" x14ac:dyDescent="0.25"/>
  <cols>
    <col min="1" max="1" width="15" customWidth="1"/>
    <col min="2" max="2" width="28.85546875" customWidth="1"/>
    <col min="3" max="3" width="12.85546875" customWidth="1"/>
    <col min="4" max="5" width="14.42578125" customWidth="1"/>
    <col min="6" max="6" width="12.85546875" customWidth="1"/>
  </cols>
  <sheetData>
    <row r="1" spans="1:6" x14ac:dyDescent="0.25">
      <c r="A1" s="121"/>
      <c r="B1" s="121"/>
      <c r="C1" s="121"/>
      <c r="D1" s="121"/>
      <c r="E1" s="121"/>
      <c r="F1" s="121"/>
    </row>
    <row r="2" spans="1:6" x14ac:dyDescent="0.25">
      <c r="A2" s="121"/>
      <c r="B2" s="121"/>
      <c r="C2" s="121"/>
      <c r="D2" s="121"/>
      <c r="E2" s="121"/>
      <c r="F2" s="121"/>
    </row>
    <row r="3" spans="1:6" x14ac:dyDescent="0.25">
      <c r="A3" s="121"/>
      <c r="B3" s="121"/>
      <c r="C3" s="121"/>
      <c r="D3" s="121"/>
      <c r="E3" s="121"/>
      <c r="F3" s="121"/>
    </row>
    <row r="5" spans="1:6" x14ac:dyDescent="0.25">
      <c r="A5" s="120" t="s">
        <v>60</v>
      </c>
      <c r="B5" s="120"/>
      <c r="C5" s="120"/>
      <c r="D5" s="120"/>
      <c r="E5" s="120"/>
      <c r="F5" s="120"/>
    </row>
    <row r="6" spans="1:6" x14ac:dyDescent="0.25">
      <c r="C6" s="126" t="s">
        <v>67</v>
      </c>
      <c r="D6" s="126"/>
      <c r="E6" s="122">
        <f>(SUMIF(D8:D54,"&gt;"&amp;0,D8:D54)-SUMIF(E8:E54,"&gt;"&amp;0,E8:E54))+SUMIF(E8:E54,"&lt;"&amp;0)</f>
        <v>-4600</v>
      </c>
      <c r="F6" s="122"/>
    </row>
    <row r="7" spans="1:6" x14ac:dyDescent="0.25">
      <c r="A7" s="50" t="s">
        <v>1</v>
      </c>
      <c r="B7" s="50" t="s">
        <v>2</v>
      </c>
      <c r="C7" s="50" t="s">
        <v>3</v>
      </c>
      <c r="D7" s="50" t="s">
        <v>5</v>
      </c>
      <c r="E7" s="51" t="s">
        <v>63</v>
      </c>
      <c r="F7" s="50" t="s">
        <v>64</v>
      </c>
    </row>
    <row r="8" spans="1:6" x14ac:dyDescent="0.25">
      <c r="A8" s="52" t="s">
        <v>42</v>
      </c>
      <c r="B8" s="28" t="s">
        <v>11</v>
      </c>
      <c r="C8" s="29" t="s">
        <v>41</v>
      </c>
      <c r="D8" s="53">
        <v>-500</v>
      </c>
      <c r="E8" s="53">
        <v>-50</v>
      </c>
      <c r="F8" s="54" t="s">
        <v>61</v>
      </c>
    </row>
    <row r="9" spans="1:6" x14ac:dyDescent="0.25">
      <c r="A9" s="55" t="s">
        <v>68</v>
      </c>
      <c r="B9" s="32" t="s">
        <v>12</v>
      </c>
      <c r="C9" s="33" t="s">
        <v>73</v>
      </c>
      <c r="D9" s="56">
        <v>-5000</v>
      </c>
      <c r="E9" s="56">
        <v>-5000</v>
      </c>
      <c r="F9" s="57" t="s">
        <v>61</v>
      </c>
    </row>
    <row r="10" spans="1:6" x14ac:dyDescent="0.25">
      <c r="A10" s="58" t="s">
        <v>70</v>
      </c>
      <c r="B10" s="36" t="s">
        <v>18</v>
      </c>
      <c r="C10" s="37" t="s">
        <v>61</v>
      </c>
      <c r="D10" s="59">
        <v>500</v>
      </c>
      <c r="E10" s="59">
        <v>50</v>
      </c>
      <c r="F10" s="60" t="s">
        <v>74</v>
      </c>
    </row>
    <row r="11" spans="1:6" x14ac:dyDescent="0.25">
      <c r="A11" s="55"/>
      <c r="B11" s="32"/>
      <c r="C11" s="33"/>
      <c r="D11" s="56"/>
      <c r="E11" s="56"/>
      <c r="F11" s="57"/>
    </row>
    <row r="12" spans="1:6" x14ac:dyDescent="0.25">
      <c r="A12" s="58"/>
      <c r="B12" s="36"/>
      <c r="C12" s="37"/>
      <c r="D12" s="59"/>
      <c r="E12" s="59"/>
      <c r="F12" s="60"/>
    </row>
    <row r="13" spans="1:6" x14ac:dyDescent="0.25">
      <c r="A13" s="55"/>
      <c r="B13" s="32"/>
      <c r="C13" s="33"/>
      <c r="D13" s="56"/>
      <c r="E13" s="56"/>
      <c r="F13" s="57"/>
    </row>
    <row r="14" spans="1:6" x14ac:dyDescent="0.25">
      <c r="A14" s="58"/>
      <c r="B14" s="36"/>
      <c r="C14" s="37"/>
      <c r="D14" s="59"/>
      <c r="E14" s="59"/>
      <c r="F14" s="60"/>
    </row>
    <row r="15" spans="1:6" x14ac:dyDescent="0.25">
      <c r="A15" s="55"/>
      <c r="B15" s="32"/>
      <c r="C15" s="33"/>
      <c r="D15" s="56"/>
      <c r="E15" s="56"/>
      <c r="F15" s="57"/>
    </row>
    <row r="16" spans="1:6" x14ac:dyDescent="0.25">
      <c r="A16" s="58"/>
      <c r="B16" s="36"/>
      <c r="C16" s="37"/>
      <c r="D16" s="59"/>
      <c r="E16" s="59"/>
      <c r="F16" s="60"/>
    </row>
    <row r="17" spans="1:6" x14ac:dyDescent="0.25">
      <c r="A17" s="55"/>
      <c r="B17" s="32"/>
      <c r="C17" s="33"/>
      <c r="D17" s="56"/>
      <c r="E17" s="56"/>
      <c r="F17" s="57"/>
    </row>
    <row r="18" spans="1:6" x14ac:dyDescent="0.25">
      <c r="A18" s="58"/>
      <c r="B18" s="36"/>
      <c r="C18" s="37"/>
      <c r="D18" s="59"/>
      <c r="E18" s="59"/>
      <c r="F18" s="60"/>
    </row>
    <row r="19" spans="1:6" x14ac:dyDescent="0.25">
      <c r="A19" s="55"/>
      <c r="B19" s="32"/>
      <c r="C19" s="33"/>
      <c r="D19" s="56"/>
      <c r="E19" s="56"/>
      <c r="F19" s="57"/>
    </row>
    <row r="20" spans="1:6" x14ac:dyDescent="0.25">
      <c r="A20" s="58"/>
      <c r="B20" s="36"/>
      <c r="C20" s="37"/>
      <c r="D20" s="59"/>
      <c r="E20" s="59"/>
      <c r="F20" s="60"/>
    </row>
    <row r="21" spans="1:6" x14ac:dyDescent="0.25">
      <c r="A21" s="55"/>
      <c r="B21" s="32"/>
      <c r="C21" s="33"/>
      <c r="D21" s="56"/>
      <c r="E21" s="56"/>
      <c r="F21" s="57"/>
    </row>
    <row r="22" spans="1:6" x14ac:dyDescent="0.25">
      <c r="A22" s="58"/>
      <c r="B22" s="36"/>
      <c r="C22" s="37"/>
      <c r="D22" s="59"/>
      <c r="E22" s="59"/>
      <c r="F22" s="60"/>
    </row>
    <row r="23" spans="1:6" x14ac:dyDescent="0.25">
      <c r="A23" s="55"/>
      <c r="B23" s="32"/>
      <c r="C23" s="33"/>
      <c r="D23" s="56"/>
      <c r="E23" s="56"/>
      <c r="F23" s="57"/>
    </row>
    <row r="24" spans="1:6" x14ac:dyDescent="0.25">
      <c r="A24" s="58"/>
      <c r="B24" s="36"/>
      <c r="C24" s="37"/>
      <c r="D24" s="59"/>
      <c r="E24" s="59"/>
      <c r="F24" s="60"/>
    </row>
    <row r="25" spans="1:6" x14ac:dyDescent="0.25">
      <c r="A25" s="55"/>
      <c r="B25" s="32"/>
      <c r="C25" s="33"/>
      <c r="D25" s="56"/>
      <c r="E25" s="56"/>
      <c r="F25" s="57"/>
    </row>
    <row r="26" spans="1:6" x14ac:dyDescent="0.25">
      <c r="A26" s="58"/>
      <c r="B26" s="36"/>
      <c r="C26" s="37"/>
      <c r="D26" s="59"/>
      <c r="E26" s="59"/>
      <c r="F26" s="60"/>
    </row>
    <row r="27" spans="1:6" x14ac:dyDescent="0.25">
      <c r="A27" s="55"/>
      <c r="B27" s="32"/>
      <c r="C27" s="33"/>
      <c r="D27" s="56"/>
      <c r="E27" s="56"/>
      <c r="F27" s="57"/>
    </row>
    <row r="28" spans="1:6" x14ac:dyDescent="0.25">
      <c r="A28" s="58"/>
      <c r="B28" s="36"/>
      <c r="C28" s="37"/>
      <c r="D28" s="59"/>
      <c r="E28" s="59"/>
      <c r="F28" s="60"/>
    </row>
    <row r="29" spans="1:6" x14ac:dyDescent="0.25">
      <c r="A29" s="55"/>
      <c r="B29" s="32"/>
      <c r="C29" s="33"/>
      <c r="D29" s="56"/>
      <c r="E29" s="56"/>
      <c r="F29" s="57"/>
    </row>
    <row r="30" spans="1:6" x14ac:dyDescent="0.25">
      <c r="A30" s="58"/>
      <c r="B30" s="36"/>
      <c r="C30" s="37"/>
      <c r="D30" s="59"/>
      <c r="E30" s="59"/>
      <c r="F30" s="60"/>
    </row>
    <row r="31" spans="1:6" x14ac:dyDescent="0.25">
      <c r="A31" s="55"/>
      <c r="B31" s="32"/>
      <c r="C31" s="33"/>
      <c r="D31" s="56"/>
      <c r="E31" s="56"/>
      <c r="F31" s="57"/>
    </row>
    <row r="32" spans="1:6" x14ac:dyDescent="0.25">
      <c r="A32" s="58"/>
      <c r="B32" s="36"/>
      <c r="C32" s="37"/>
      <c r="D32" s="59"/>
      <c r="E32" s="59"/>
      <c r="F32" s="60"/>
    </row>
    <row r="33" spans="1:6" x14ac:dyDescent="0.25">
      <c r="A33" s="55"/>
      <c r="B33" s="32"/>
      <c r="C33" s="33"/>
      <c r="D33" s="56"/>
      <c r="E33" s="56"/>
      <c r="F33" s="57"/>
    </row>
    <row r="34" spans="1:6" x14ac:dyDescent="0.25">
      <c r="A34" s="58"/>
      <c r="B34" s="36"/>
      <c r="C34" s="37"/>
      <c r="D34" s="59"/>
      <c r="E34" s="59"/>
      <c r="F34" s="60"/>
    </row>
    <row r="35" spans="1:6" x14ac:dyDescent="0.25">
      <c r="A35" s="55"/>
      <c r="B35" s="32"/>
      <c r="C35" s="33"/>
      <c r="D35" s="56"/>
      <c r="E35" s="56"/>
      <c r="F35" s="57"/>
    </row>
    <row r="36" spans="1:6" x14ac:dyDescent="0.25">
      <c r="A36" s="58"/>
      <c r="B36" s="36"/>
      <c r="C36" s="37"/>
      <c r="D36" s="59"/>
      <c r="E36" s="59"/>
      <c r="F36" s="60"/>
    </row>
    <row r="37" spans="1:6" x14ac:dyDescent="0.25">
      <c r="A37" s="55"/>
      <c r="B37" s="32"/>
      <c r="C37" s="33"/>
      <c r="D37" s="56"/>
      <c r="E37" s="56"/>
      <c r="F37" s="57"/>
    </row>
    <row r="38" spans="1:6" x14ac:dyDescent="0.25">
      <c r="A38" s="58"/>
      <c r="B38" s="36"/>
      <c r="C38" s="37"/>
      <c r="D38" s="59"/>
      <c r="E38" s="59"/>
      <c r="F38" s="60"/>
    </row>
    <row r="39" spans="1:6" x14ac:dyDescent="0.25">
      <c r="A39" s="55"/>
      <c r="B39" s="32"/>
      <c r="C39" s="33"/>
      <c r="D39" s="56"/>
      <c r="E39" s="56"/>
      <c r="F39" s="57"/>
    </row>
    <row r="40" spans="1:6" x14ac:dyDescent="0.25">
      <c r="A40" s="58"/>
      <c r="B40" s="36"/>
      <c r="C40" s="37"/>
      <c r="D40" s="59"/>
      <c r="E40" s="59"/>
      <c r="F40" s="60"/>
    </row>
    <row r="41" spans="1:6" x14ac:dyDescent="0.25">
      <c r="A41" s="55"/>
      <c r="B41" s="32"/>
      <c r="C41" s="33"/>
      <c r="D41" s="56"/>
      <c r="E41" s="56"/>
      <c r="F41" s="57"/>
    </row>
    <row r="42" spans="1:6" x14ac:dyDescent="0.25">
      <c r="A42" s="58"/>
      <c r="B42" s="36"/>
      <c r="C42" s="37"/>
      <c r="D42" s="59"/>
      <c r="E42" s="59"/>
      <c r="F42" s="60"/>
    </row>
    <row r="43" spans="1:6" x14ac:dyDescent="0.25">
      <c r="A43" s="55"/>
      <c r="B43" s="32"/>
      <c r="C43" s="33"/>
      <c r="D43" s="56"/>
      <c r="E43" s="56"/>
      <c r="F43" s="57"/>
    </row>
    <row r="44" spans="1:6" x14ac:dyDescent="0.25">
      <c r="A44" s="58"/>
      <c r="B44" s="36"/>
      <c r="C44" s="37"/>
      <c r="D44" s="59"/>
      <c r="E44" s="59"/>
      <c r="F44" s="60"/>
    </row>
    <row r="45" spans="1:6" x14ac:dyDescent="0.25">
      <c r="A45" s="55"/>
      <c r="B45" s="32"/>
      <c r="C45" s="33"/>
      <c r="D45" s="56"/>
      <c r="E45" s="56"/>
      <c r="F45" s="57"/>
    </row>
    <row r="46" spans="1:6" x14ac:dyDescent="0.25">
      <c r="A46" s="58"/>
      <c r="B46" s="36"/>
      <c r="C46" s="37"/>
      <c r="D46" s="59"/>
      <c r="E46" s="59"/>
      <c r="F46" s="60"/>
    </row>
    <row r="47" spans="1:6" x14ac:dyDescent="0.25">
      <c r="A47" s="55"/>
      <c r="B47" s="32"/>
      <c r="C47" s="33"/>
      <c r="D47" s="56"/>
      <c r="E47" s="56"/>
      <c r="F47" s="57"/>
    </row>
    <row r="48" spans="1:6" x14ac:dyDescent="0.25">
      <c r="A48" s="58"/>
      <c r="B48" s="36"/>
      <c r="C48" s="37"/>
      <c r="D48" s="59"/>
      <c r="E48" s="59"/>
      <c r="F48" s="60"/>
    </row>
    <row r="49" spans="1:6" x14ac:dyDescent="0.25">
      <c r="A49" s="55"/>
      <c r="B49" s="32"/>
      <c r="C49" s="33"/>
      <c r="D49" s="56"/>
      <c r="E49" s="56"/>
      <c r="F49" s="57"/>
    </row>
    <row r="50" spans="1:6" x14ac:dyDescent="0.25">
      <c r="A50" s="58"/>
      <c r="B50" s="36"/>
      <c r="C50" s="37"/>
      <c r="D50" s="59"/>
      <c r="E50" s="59"/>
      <c r="F50" s="60"/>
    </row>
    <row r="51" spans="1:6" x14ac:dyDescent="0.25">
      <c r="A51" s="55"/>
      <c r="B51" s="32"/>
      <c r="C51" s="33"/>
      <c r="D51" s="56"/>
      <c r="E51" s="56"/>
      <c r="F51" s="57"/>
    </row>
    <row r="52" spans="1:6" x14ac:dyDescent="0.25">
      <c r="A52" s="58"/>
      <c r="B52" s="36"/>
      <c r="C52" s="37"/>
      <c r="D52" s="59"/>
      <c r="E52" s="59"/>
      <c r="F52" s="60"/>
    </row>
    <row r="53" spans="1:6" x14ac:dyDescent="0.25">
      <c r="A53" s="55"/>
      <c r="B53" s="32"/>
      <c r="C53" s="33"/>
      <c r="D53" s="56"/>
      <c r="E53" s="56"/>
      <c r="F53" s="57"/>
    </row>
    <row r="54" spans="1:6" x14ac:dyDescent="0.25">
      <c r="A54" s="58"/>
      <c r="B54" s="36"/>
      <c r="C54" s="37"/>
      <c r="D54" s="59"/>
      <c r="E54" s="59"/>
      <c r="F54" s="60"/>
    </row>
    <row r="55" spans="1:6" x14ac:dyDescent="0.25">
      <c r="A55" s="123" t="s">
        <v>66</v>
      </c>
      <c r="B55" s="123"/>
      <c r="C55" s="124">
        <f>SUM(D8:D54)</f>
        <v>-5000</v>
      </c>
      <c r="D55" s="124"/>
      <c r="E55" s="124">
        <f>SUM(E8:E54)</f>
        <v>-5000</v>
      </c>
      <c r="F55" s="125"/>
    </row>
  </sheetData>
  <mergeCells count="7">
    <mergeCell ref="A5:F5"/>
    <mergeCell ref="A1:F3"/>
    <mergeCell ref="E6:F6"/>
    <mergeCell ref="A55:B55"/>
    <mergeCell ref="E55:F55"/>
    <mergeCell ref="C55:D55"/>
    <mergeCell ref="C6:D6"/>
  </mergeCells>
  <pageMargins left="0.33333333333333331" right="0.1875" top="0.26041666666666669" bottom="0.25" header="0.31496062000000002" footer="0.31496062000000002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12"/>
  <sheetViews>
    <sheetView tabSelected="1" workbookViewId="0">
      <selection activeCell="F13" sqref="A13:F13"/>
    </sheetView>
  </sheetViews>
  <sheetFormatPr defaultRowHeight="15" x14ac:dyDescent="0.25"/>
  <cols>
    <col min="1" max="1" width="5.28515625" style="42" bestFit="1" customWidth="1"/>
    <col min="2" max="2" width="14" style="42" bestFit="1" customWidth="1"/>
    <col min="3" max="3" width="33.140625" style="42" customWidth="1"/>
    <col min="4" max="5" width="15.85546875" style="9" customWidth="1"/>
    <col min="6" max="7" width="15.85546875" style="46" customWidth="1"/>
  </cols>
  <sheetData>
    <row r="1" spans="1:7" s="10" customFormat="1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47" t="s">
        <v>5</v>
      </c>
      <c r="G1" s="47" t="s">
        <v>6</v>
      </c>
    </row>
    <row r="2" spans="1:7" x14ac:dyDescent="0.25">
      <c r="A2" s="42">
        <v>1</v>
      </c>
      <c r="B2" s="42" t="s">
        <v>9</v>
      </c>
      <c r="C2" s="42" t="s">
        <v>42</v>
      </c>
      <c r="D2" s="9" t="s">
        <v>59</v>
      </c>
      <c r="E2" s="9" t="s">
        <v>59</v>
      </c>
      <c r="F2" s="46">
        <v>200</v>
      </c>
    </row>
    <row r="3" spans="1:7" x14ac:dyDescent="0.25">
      <c r="A3" s="42">
        <v>2</v>
      </c>
      <c r="B3" s="42" t="s">
        <v>8</v>
      </c>
      <c r="C3" s="42" t="s">
        <v>43</v>
      </c>
      <c r="D3" s="9">
        <v>43881</v>
      </c>
      <c r="F3" s="46">
        <v>110</v>
      </c>
    </row>
    <row r="4" spans="1:7" x14ac:dyDescent="0.25">
      <c r="A4" s="42">
        <v>3</v>
      </c>
      <c r="B4" s="42" t="s">
        <v>8</v>
      </c>
      <c r="C4" s="42" t="s">
        <v>44</v>
      </c>
      <c r="D4" s="9" t="s">
        <v>47</v>
      </c>
      <c r="E4" s="9" t="s">
        <v>41</v>
      </c>
      <c r="F4" s="46">
        <v>300</v>
      </c>
      <c r="G4" s="46">
        <v>150</v>
      </c>
    </row>
    <row r="5" spans="1:7" x14ac:dyDescent="0.25">
      <c r="A5" s="42">
        <v>4</v>
      </c>
      <c r="B5" s="42" t="s">
        <v>9</v>
      </c>
      <c r="C5" s="42" t="s">
        <v>45</v>
      </c>
      <c r="D5" s="9" t="s">
        <v>62</v>
      </c>
      <c r="E5" s="9" t="s">
        <v>59</v>
      </c>
      <c r="F5" s="46">
        <v>250</v>
      </c>
      <c r="G5" s="46">
        <v>100</v>
      </c>
    </row>
    <row r="6" spans="1:7" x14ac:dyDescent="0.25">
      <c r="A6" s="42">
        <v>5</v>
      </c>
      <c r="B6" s="42" t="s">
        <v>11</v>
      </c>
      <c r="C6" s="42" t="s">
        <v>42</v>
      </c>
      <c r="D6" s="9" t="s">
        <v>41</v>
      </c>
      <c r="E6" s="9" t="s">
        <v>59</v>
      </c>
      <c r="F6" s="46">
        <v>500</v>
      </c>
      <c r="G6" s="46">
        <v>50</v>
      </c>
    </row>
    <row r="7" spans="1:7" x14ac:dyDescent="0.25">
      <c r="A7" s="42">
        <v>6</v>
      </c>
      <c r="B7" s="42" t="s">
        <v>10</v>
      </c>
      <c r="C7" s="42" t="s">
        <v>48</v>
      </c>
      <c r="D7" s="9" t="s">
        <v>41</v>
      </c>
      <c r="E7" s="9" t="s">
        <v>65</v>
      </c>
      <c r="F7" s="46">
        <v>450</v>
      </c>
      <c r="G7" s="46">
        <v>200</v>
      </c>
    </row>
    <row r="8" spans="1:7" x14ac:dyDescent="0.25">
      <c r="A8" s="42">
        <v>7</v>
      </c>
      <c r="B8" s="42" t="s">
        <v>14</v>
      </c>
      <c r="C8" s="42" t="s">
        <v>51</v>
      </c>
      <c r="D8" s="9">
        <v>44027</v>
      </c>
      <c r="E8" s="9">
        <v>44027</v>
      </c>
      <c r="F8" s="46">
        <v>50</v>
      </c>
    </row>
    <row r="9" spans="1:7" x14ac:dyDescent="0.25">
      <c r="A9" s="42">
        <v>8</v>
      </c>
      <c r="B9" s="42" t="s">
        <v>53</v>
      </c>
      <c r="C9" s="42" t="s">
        <v>54</v>
      </c>
      <c r="D9" s="9" t="s">
        <v>41</v>
      </c>
      <c r="E9" s="9" t="s">
        <v>41</v>
      </c>
      <c r="F9" s="46">
        <v>15000</v>
      </c>
    </row>
    <row r="10" spans="1:7" x14ac:dyDescent="0.25">
      <c r="A10" s="42">
        <v>9</v>
      </c>
      <c r="B10" s="42" t="s">
        <v>11</v>
      </c>
      <c r="C10" s="42" t="s">
        <v>55</v>
      </c>
      <c r="D10" s="9" t="s">
        <v>41</v>
      </c>
      <c r="E10" s="9" t="s">
        <v>41</v>
      </c>
      <c r="F10" s="46">
        <v>5000</v>
      </c>
    </row>
    <row r="11" spans="1:7" x14ac:dyDescent="0.25">
      <c r="A11" s="42">
        <v>10</v>
      </c>
      <c r="B11" s="42" t="s">
        <v>12</v>
      </c>
      <c r="C11" s="42" t="s">
        <v>68</v>
      </c>
      <c r="D11" s="9">
        <v>44035</v>
      </c>
      <c r="F11" s="46">
        <v>5000</v>
      </c>
    </row>
    <row r="12" spans="1:7" x14ac:dyDescent="0.25">
      <c r="A12" s="42">
        <v>11</v>
      </c>
      <c r="B12" s="42" t="s">
        <v>10</v>
      </c>
      <c r="C12" s="42" t="s">
        <v>71</v>
      </c>
      <c r="D12" s="9" t="s">
        <v>61</v>
      </c>
      <c r="F12" s="46">
        <v>550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5"/>
  <sheetViews>
    <sheetView workbookViewId="0">
      <selection activeCell="C28" sqref="C28"/>
    </sheetView>
  </sheetViews>
  <sheetFormatPr defaultRowHeight="15" x14ac:dyDescent="0.25"/>
  <cols>
    <col min="1" max="1" width="5.28515625" bestFit="1" customWidth="1"/>
    <col min="2" max="2" width="11.7109375" bestFit="1" customWidth="1"/>
  </cols>
  <sheetData>
    <row r="1" spans="1:2" x14ac:dyDescent="0.25">
      <c r="A1" t="s">
        <v>0</v>
      </c>
      <c r="B1" t="s">
        <v>7</v>
      </c>
    </row>
    <row r="2" spans="1:2" x14ac:dyDescent="0.25">
      <c r="A2">
        <v>1</v>
      </c>
      <c r="B2" t="s">
        <v>17</v>
      </c>
    </row>
    <row r="3" spans="1:2" x14ac:dyDescent="0.25">
      <c r="A3">
        <v>2</v>
      </c>
      <c r="B3" t="s">
        <v>18</v>
      </c>
    </row>
    <row r="4" spans="1:2" x14ac:dyDescent="0.25">
      <c r="A4">
        <v>3</v>
      </c>
      <c r="B4" t="s">
        <v>19</v>
      </c>
    </row>
    <row r="5" spans="1:2" x14ac:dyDescent="0.25">
      <c r="A5">
        <v>4</v>
      </c>
      <c r="B5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10"/>
  <sheetViews>
    <sheetView workbookViewId="0">
      <selection activeCell="A11" sqref="A11"/>
    </sheetView>
  </sheetViews>
  <sheetFormatPr defaultRowHeight="15" x14ac:dyDescent="0.25"/>
  <cols>
    <col min="1" max="1" width="5.28515625" bestFit="1" customWidth="1"/>
    <col min="2" max="2" width="14" bestFit="1" customWidth="1"/>
  </cols>
  <sheetData>
    <row r="1" spans="1:2" x14ac:dyDescent="0.25">
      <c r="A1" t="s">
        <v>0</v>
      </c>
      <c r="B1" t="s">
        <v>7</v>
      </c>
    </row>
    <row r="2" spans="1:2" x14ac:dyDescent="0.25">
      <c r="A2">
        <v>1</v>
      </c>
      <c r="B2" t="s">
        <v>8</v>
      </c>
    </row>
    <row r="3" spans="1:2" x14ac:dyDescent="0.25">
      <c r="A3">
        <v>2</v>
      </c>
      <c r="B3" t="s">
        <v>9</v>
      </c>
    </row>
    <row r="4" spans="1:2" x14ac:dyDescent="0.25">
      <c r="A4">
        <v>3</v>
      </c>
      <c r="B4" t="s">
        <v>10</v>
      </c>
    </row>
    <row r="5" spans="1:2" x14ac:dyDescent="0.25">
      <c r="A5">
        <v>4</v>
      </c>
      <c r="B5" t="s">
        <v>11</v>
      </c>
    </row>
    <row r="6" spans="1:2" x14ac:dyDescent="0.25">
      <c r="A6">
        <v>5</v>
      </c>
      <c r="B6" t="s">
        <v>12</v>
      </c>
    </row>
    <row r="7" spans="1:2" x14ac:dyDescent="0.25">
      <c r="A7">
        <v>6</v>
      </c>
      <c r="B7" t="s">
        <v>13</v>
      </c>
    </row>
    <row r="8" spans="1:2" x14ac:dyDescent="0.25">
      <c r="A8">
        <v>7</v>
      </c>
      <c r="B8" t="s">
        <v>14</v>
      </c>
    </row>
    <row r="9" spans="1:2" x14ac:dyDescent="0.25">
      <c r="A9">
        <v>8</v>
      </c>
      <c r="B9" t="s">
        <v>15</v>
      </c>
    </row>
    <row r="10" spans="1:2" x14ac:dyDescent="0.25">
      <c r="A10">
        <v>9</v>
      </c>
      <c r="B10" t="s">
        <v>16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10"/>
  <sheetViews>
    <sheetView workbookViewId="0"/>
  </sheetViews>
  <sheetFormatPr defaultRowHeight="15" x14ac:dyDescent="0.25"/>
  <cols>
    <col min="1" max="1" width="5.28515625" style="42" bestFit="1" customWidth="1"/>
    <col min="2" max="2" width="11.7109375" style="42" bestFit="1" customWidth="1"/>
    <col min="3" max="3" width="33.28515625" style="42" customWidth="1"/>
    <col min="4" max="5" width="15.28515625" style="9" customWidth="1"/>
    <col min="6" max="7" width="15.28515625" style="48" customWidth="1"/>
  </cols>
  <sheetData>
    <row r="1" spans="1:7" s="10" customFormat="1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</row>
    <row r="2" spans="1:7" x14ac:dyDescent="0.25">
      <c r="A2" s="42">
        <v>1</v>
      </c>
      <c r="B2" s="42" t="s">
        <v>17</v>
      </c>
      <c r="C2" s="42" t="s">
        <v>40</v>
      </c>
      <c r="D2" s="9">
        <v>44022</v>
      </c>
      <c r="F2" s="48">
        <v>5000</v>
      </c>
    </row>
    <row r="3" spans="1:7" x14ac:dyDescent="0.25">
      <c r="A3" s="42">
        <v>2</v>
      </c>
      <c r="B3" s="42" t="s">
        <v>17</v>
      </c>
      <c r="C3" s="42" t="s">
        <v>46</v>
      </c>
      <c r="D3" s="9" t="s">
        <v>57</v>
      </c>
      <c r="E3" s="9" t="s">
        <v>57</v>
      </c>
      <c r="F3" s="48">
        <v>5000</v>
      </c>
    </row>
    <row r="4" spans="1:7" x14ac:dyDescent="0.25">
      <c r="A4" s="42">
        <v>3</v>
      </c>
      <c r="B4" s="42" t="s">
        <v>18</v>
      </c>
      <c r="C4" s="42" t="s">
        <v>49</v>
      </c>
      <c r="D4" s="9" t="s">
        <v>58</v>
      </c>
      <c r="E4" s="9" t="s">
        <v>59</v>
      </c>
      <c r="F4" s="48">
        <v>5000</v>
      </c>
    </row>
    <row r="5" spans="1:7" x14ac:dyDescent="0.25">
      <c r="A5" s="42">
        <v>4</v>
      </c>
      <c r="B5" s="42" t="s">
        <v>19</v>
      </c>
      <c r="C5" s="42" t="s">
        <v>50</v>
      </c>
      <c r="D5" s="9" t="s">
        <v>58</v>
      </c>
      <c r="E5" s="9" t="s">
        <v>59</v>
      </c>
      <c r="F5" s="48">
        <v>4500</v>
      </c>
      <c r="G5" s="48">
        <v>500</v>
      </c>
    </row>
    <row r="6" spans="1:7" x14ac:dyDescent="0.25">
      <c r="A6" s="42">
        <v>5</v>
      </c>
      <c r="B6" s="42" t="s">
        <v>20</v>
      </c>
      <c r="C6" s="42" t="s">
        <v>52</v>
      </c>
      <c r="D6" s="9">
        <v>44027</v>
      </c>
      <c r="E6" s="9">
        <v>44027</v>
      </c>
      <c r="F6" s="48">
        <v>65</v>
      </c>
    </row>
    <row r="7" spans="1:7" x14ac:dyDescent="0.25">
      <c r="A7" s="42">
        <v>6</v>
      </c>
      <c r="B7" s="42" t="s">
        <v>19</v>
      </c>
      <c r="C7" s="42" t="s">
        <v>56</v>
      </c>
      <c r="D7" s="9">
        <v>44027</v>
      </c>
      <c r="E7" s="9">
        <v>44027</v>
      </c>
      <c r="F7" s="48">
        <v>4000</v>
      </c>
    </row>
    <row r="8" spans="1:7" x14ac:dyDescent="0.25">
      <c r="A8" s="42">
        <v>7</v>
      </c>
      <c r="B8" s="42" t="s">
        <v>18</v>
      </c>
      <c r="C8" s="42" t="s">
        <v>69</v>
      </c>
      <c r="D8" s="9">
        <v>44049</v>
      </c>
      <c r="F8" s="48">
        <v>2000</v>
      </c>
    </row>
    <row r="9" spans="1:7" x14ac:dyDescent="0.25">
      <c r="A9" s="42">
        <v>8</v>
      </c>
      <c r="B9" s="42" t="s">
        <v>18</v>
      </c>
      <c r="C9" s="42" t="s">
        <v>70</v>
      </c>
      <c r="D9" s="9" t="s">
        <v>61</v>
      </c>
      <c r="E9" s="9" t="s">
        <v>59</v>
      </c>
      <c r="F9" s="48">
        <v>500</v>
      </c>
      <c r="G9" s="48">
        <v>50</v>
      </c>
    </row>
    <row r="10" spans="1:7" x14ac:dyDescent="0.25">
      <c r="A10" s="42">
        <v>9</v>
      </c>
      <c r="B10" s="42" t="s">
        <v>18</v>
      </c>
      <c r="C10" s="42" t="s">
        <v>72</v>
      </c>
      <c r="D10" s="9">
        <v>44050</v>
      </c>
      <c r="F10" s="48">
        <v>3000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Controle</vt:lpstr>
      <vt:lpstr>Relatorio</vt:lpstr>
      <vt:lpstr>Despesas</vt:lpstr>
      <vt:lpstr>TipoReceitas</vt:lpstr>
      <vt:lpstr>TipoDespesa</vt:lpstr>
      <vt:lpstr>Receitas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Carlos</dc:creator>
  <cp:lastModifiedBy>André Carlos</cp:lastModifiedBy>
  <cp:lastPrinted>2020-07-16T23:21:47Z</cp:lastPrinted>
  <dcterms:created xsi:type="dcterms:W3CDTF">2020-07-10T19:58:22Z</dcterms:created>
  <dcterms:modified xsi:type="dcterms:W3CDTF">2020-07-17T23:09:27Z</dcterms:modified>
</cp:coreProperties>
</file>